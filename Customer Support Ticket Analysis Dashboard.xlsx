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d027a298505361d5/Desktop/"/>
    </mc:Choice>
  </mc:AlternateContent>
  <xr:revisionPtr revIDLastSave="0" documentId="8_{57855189-03C8-435C-B2D2-FE04B73D816A}" xr6:coauthVersionLast="47" xr6:coauthVersionMax="47" xr10:uidLastSave="{00000000-0000-0000-0000-000000000000}"/>
  <bookViews>
    <workbookView xWindow="-108" yWindow="-108" windowWidth="23256" windowHeight="12456" activeTab="1" xr2:uid="{2C5E230D-3987-4B81-8D35-FDD9CFD5F069}"/>
  </bookViews>
  <sheets>
    <sheet name="Detail1" sheetId="3" r:id="rId1"/>
    <sheet name="Dashboard" sheetId="2" r:id="rId2"/>
    <sheet name="Sheet1" sheetId="1" r:id="rId3"/>
  </sheets>
  <definedNames>
    <definedName name="_xlnm._FilterDatabase" localSheetId="2" hidden="1">Sheet1!$A$1:$K$7</definedName>
    <definedName name="Slicer_Priority">#N/A</definedName>
    <definedName name="Slicer_Product">#N/A</definedName>
    <definedName name="Slicer_Region">#N/A</definedName>
    <definedName name="Slicer_SLA_Status">#N/A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2" l="1"/>
  <c r="L3" i="1"/>
  <c r="L4" i="1"/>
  <c r="L5" i="1"/>
  <c r="L6" i="1"/>
  <c r="L7" i="1"/>
  <c r="L2" i="1"/>
</calcChain>
</file>

<file path=xl/sharedStrings.xml><?xml version="1.0" encoding="utf-8"?>
<sst xmlns="http://schemas.openxmlformats.org/spreadsheetml/2006/main" count="107" uniqueCount="57">
  <si>
    <t xml:space="preserve">Ticket_ID </t>
  </si>
  <si>
    <t xml:space="preserve"> Created_Date </t>
  </si>
  <si>
    <t xml:space="preserve"> Resolved_Date </t>
  </si>
  <si>
    <t xml:space="preserve"> Issue_Type </t>
  </si>
  <si>
    <t xml:space="preserve"> Resolution_Time_Hours </t>
  </si>
  <si>
    <t xml:space="preserve"> CSAT</t>
  </si>
  <si>
    <t xml:space="preserve">T001 </t>
  </si>
  <si>
    <t xml:space="preserve"> 01-01-2025 </t>
  </si>
  <si>
    <t xml:space="preserve"> 02-01-2025 </t>
  </si>
  <si>
    <t xml:space="preserve">T003 </t>
  </si>
  <si>
    <t xml:space="preserve">T004 </t>
  </si>
  <si>
    <t xml:space="preserve"> 05-01-2025 </t>
  </si>
  <si>
    <t xml:space="preserve"> 03-01-2025 </t>
  </si>
  <si>
    <t xml:space="preserve">T006 </t>
  </si>
  <si>
    <t xml:space="preserve"> 04-01-2025 </t>
  </si>
  <si>
    <t xml:space="preserve">T007 </t>
  </si>
  <si>
    <t xml:space="preserve"> 06-01-2025 </t>
  </si>
  <si>
    <t xml:space="preserve">T008 </t>
  </si>
  <si>
    <t>Customer_Name</t>
  </si>
  <si>
    <t>Rahul</t>
  </si>
  <si>
    <t>Amit</t>
  </si>
  <si>
    <t>Neha</t>
  </si>
  <si>
    <t>Rohan</t>
  </si>
  <si>
    <t>Pooja</t>
  </si>
  <si>
    <t>Aman</t>
  </si>
  <si>
    <t>Region</t>
  </si>
  <si>
    <t>North</t>
  </si>
  <si>
    <t>South</t>
  </si>
  <si>
    <t>West</t>
  </si>
  <si>
    <t>East</t>
  </si>
  <si>
    <t>Product</t>
  </si>
  <si>
    <t>Mobile</t>
  </si>
  <si>
    <t>Laptop</t>
  </si>
  <si>
    <t>Printer</t>
  </si>
  <si>
    <t>Login Issue</t>
  </si>
  <si>
    <t>Screen Problem</t>
  </si>
  <si>
    <t>Paper Jam</t>
  </si>
  <si>
    <t>Cartridge Error</t>
  </si>
  <si>
    <t>Blue Screen</t>
  </si>
  <si>
    <t>Priority</t>
  </si>
  <si>
    <t>High</t>
  </si>
  <si>
    <t>Medium</t>
  </si>
  <si>
    <t>Low</t>
  </si>
  <si>
    <t>Status</t>
  </si>
  <si>
    <t>Closed</t>
  </si>
  <si>
    <t>SLA_Status</t>
  </si>
  <si>
    <t>Row Labels</t>
  </si>
  <si>
    <t>Grand Total</t>
  </si>
  <si>
    <t xml:space="preserve">Count of Ticket_ID </t>
  </si>
  <si>
    <t>SLA Breach</t>
  </si>
  <si>
    <t xml:space="preserve">Average of  Resolution_Time_Hours </t>
  </si>
  <si>
    <t>Average of  CSAT</t>
  </si>
  <si>
    <t>Sales data</t>
  </si>
  <si>
    <t>Dashboard!C5</t>
  </si>
  <si>
    <t>Count of Ticket_ID</t>
  </si>
  <si>
    <t>Details for Count of Ticket_ID</t>
  </si>
  <si>
    <t>Within 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</si>
</sst>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5"/>
      <color theme="3"/>
      <name val="Calibri"/>
      <family val="2"/>
      <scheme val="minor"/>
    </font>
    <font>
      <b/>
      <sz val="11"/>
      <color theme="1"/>
      <name val="Calibri"/>
      <family val="2"/>
      <scheme val="minor"/>
    </font>
    <font>
      <b/>
      <sz val="36"/>
      <color theme="3"/>
      <name val="Calibri"/>
      <family val="2"/>
      <scheme val="minor"/>
    </font>
    <font>
      <sz val="11"/>
      <color theme="2" tint="-9.9978637043366805E-2"/>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8">
    <xf numFmtId="0" fontId="0" fillId="0" borderId="0" xfId="0"/>
    <xf numFmtId="0" fontId="2" fillId="0" borderId="0" xfId="0" applyFont="1"/>
    <xf numFmtId="0" fontId="0" fillId="2" borderId="0" xfId="0" applyFill="1"/>
    <xf numFmtId="0" fontId="3" fillId="2" borderId="1" xfId="1" applyFont="1" applyFill="1" applyAlignment="1">
      <alignment vertical="top"/>
    </xf>
    <xf numFmtId="0" fontId="0" fillId="2" borderId="0" xfId="0" applyFill="1" applyAlignment="1">
      <alignment vertical="top"/>
    </xf>
    <xf numFmtId="0" fontId="0" fillId="2" borderId="0" xfId="0" applyFill="1" applyAlignment="1">
      <alignment horizontal="left"/>
    </xf>
    <xf numFmtId="0" fontId="0" fillId="2" borderId="0" xfId="0" applyNumberFormat="1" applyFill="1"/>
    <xf numFmtId="0" fontId="4" fillId="2" borderId="0" xfId="0" applyFont="1" applyFill="1"/>
  </cellXfs>
  <cellStyles count="2">
    <cellStyle name="Heading 1" xfId="1" builtinId="16"/>
    <cellStyle name="Normal" xfId="0" builtinId="0"/>
  </cellStyles>
  <dxfs count="804">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2" tint="-9.9978637043366805E-2"/>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Ticket Analysis Dashboard.xlsx]Dashboard!PivotTable1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Dashboard!$B$4:$B$5</c:f>
              <c:strCache>
                <c:ptCount val="1"/>
                <c:pt idx="0">
                  <c:v>West</c:v>
                </c:pt>
              </c:strCache>
            </c:strRef>
          </c:cat>
          <c:val>
            <c:numRef>
              <c:f>Dashboard!$C$4:$C$5</c:f>
              <c:numCache>
                <c:formatCode>General</c:formatCode>
                <c:ptCount val="1"/>
                <c:pt idx="0">
                  <c:v>1</c:v>
                </c:pt>
              </c:numCache>
            </c:numRef>
          </c:val>
          <c:extLst>
            <c:ext xmlns:c16="http://schemas.microsoft.com/office/drawing/2014/chart" uri="{C3380CC4-5D6E-409C-BE32-E72D297353CC}">
              <c16:uniqueId val="{00000000-90D7-4BE5-94B4-FD6D2C09EF3B}"/>
            </c:ext>
          </c:extLst>
        </c:ser>
        <c:dLbls>
          <c:showLegendKey val="0"/>
          <c:showVal val="0"/>
          <c:showCatName val="0"/>
          <c:showSerName val="0"/>
          <c:showPercent val="0"/>
          <c:showBubbleSize val="0"/>
        </c:dLbls>
        <c:gapWidth val="150"/>
        <c:overlap val="100"/>
        <c:axId val="563399471"/>
        <c:axId val="563398031"/>
      </c:barChart>
      <c:catAx>
        <c:axId val="5633994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398031"/>
        <c:crosses val="autoZero"/>
        <c:auto val="1"/>
        <c:lblAlgn val="ctr"/>
        <c:lblOffset val="100"/>
        <c:noMultiLvlLbl val="0"/>
      </c:catAx>
      <c:valAx>
        <c:axId val="5633980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39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Ticket Analysis Dashboard.xlsx]Dashboard!PivotTable2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4D-4FB8-9BA9-CE3B2A38A49D}"/>
              </c:ext>
            </c:extLst>
          </c:dPt>
          <c:cat>
            <c:strRef>
              <c:f>Dashboard!$E$4:$E$5</c:f>
              <c:strCache>
                <c:ptCount val="1"/>
                <c:pt idx="0">
                  <c:v>Within SLA</c:v>
                </c:pt>
              </c:strCache>
            </c:strRef>
          </c:cat>
          <c:val>
            <c:numRef>
              <c:f>Dashboard!$F$4:$F$5</c:f>
              <c:numCache>
                <c:formatCode>General</c:formatCode>
                <c:ptCount val="1"/>
                <c:pt idx="0">
                  <c:v>1</c:v>
                </c:pt>
              </c:numCache>
            </c:numRef>
          </c:val>
          <c:extLst>
            <c:ext xmlns:c16="http://schemas.microsoft.com/office/drawing/2014/chart" uri="{C3380CC4-5D6E-409C-BE32-E72D297353CC}">
              <c16:uniqueId val="{00000000-9D4D-49AC-BC2D-B8D1F2EC87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Ticket Analysis Dashboard.xlsx]Dashboard!PivotTable3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Dashboard!$H$4:$H$5</c:f>
              <c:strCache>
                <c:ptCount val="1"/>
                <c:pt idx="0">
                  <c:v>Mobile</c:v>
                </c:pt>
              </c:strCache>
            </c:strRef>
          </c:cat>
          <c:val>
            <c:numRef>
              <c:f>Dashboard!$I$4:$I$5</c:f>
              <c:numCache>
                <c:formatCode>General</c:formatCode>
                <c:ptCount val="1"/>
                <c:pt idx="0">
                  <c:v>5</c:v>
                </c:pt>
              </c:numCache>
            </c:numRef>
          </c:val>
          <c:extLst>
            <c:ext xmlns:c16="http://schemas.microsoft.com/office/drawing/2014/chart" uri="{C3380CC4-5D6E-409C-BE32-E72D297353CC}">
              <c16:uniqueId val="{00000000-1CC9-4125-8B12-755EF141DF7F}"/>
            </c:ext>
          </c:extLst>
        </c:ser>
        <c:dLbls>
          <c:showLegendKey val="0"/>
          <c:showVal val="0"/>
          <c:showCatName val="0"/>
          <c:showSerName val="0"/>
          <c:showPercent val="0"/>
          <c:showBubbleSize val="0"/>
        </c:dLbls>
        <c:gapWidth val="150"/>
        <c:overlap val="100"/>
        <c:axId val="861835199"/>
        <c:axId val="861837119"/>
      </c:barChart>
      <c:catAx>
        <c:axId val="861835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837119"/>
        <c:crosses val="autoZero"/>
        <c:auto val="1"/>
        <c:lblAlgn val="ctr"/>
        <c:lblOffset val="100"/>
        <c:noMultiLvlLbl val="0"/>
      </c:catAx>
      <c:valAx>
        <c:axId val="861837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83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Ticket Analysis Dashboard.xlsx]Dashboard!PivotTable4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Dashboard!$K$4:$K$5</c:f>
              <c:strCache>
                <c:ptCount val="1"/>
                <c:pt idx="0">
                  <c:v>Within SLA</c:v>
                </c:pt>
              </c:strCache>
            </c:strRef>
          </c:cat>
          <c:val>
            <c:numRef>
              <c:f>Dashboard!$L$4:$L$5</c:f>
              <c:numCache>
                <c:formatCode>General</c:formatCode>
                <c:ptCount val="1"/>
                <c:pt idx="0">
                  <c:v>5</c:v>
                </c:pt>
              </c:numCache>
            </c:numRef>
          </c:val>
          <c:extLst>
            <c:ext xmlns:c16="http://schemas.microsoft.com/office/drawing/2014/chart" uri="{C3380CC4-5D6E-409C-BE32-E72D297353CC}">
              <c16:uniqueId val="{00000000-D90E-4FCC-BC37-5D90CC539B7B}"/>
            </c:ext>
          </c:extLst>
        </c:ser>
        <c:dLbls>
          <c:showLegendKey val="0"/>
          <c:showVal val="0"/>
          <c:showCatName val="0"/>
          <c:showSerName val="0"/>
          <c:showPercent val="0"/>
          <c:showBubbleSize val="0"/>
        </c:dLbls>
        <c:gapWidth val="115"/>
        <c:overlap val="-20"/>
        <c:axId val="936203183"/>
        <c:axId val="936206063"/>
      </c:barChart>
      <c:catAx>
        <c:axId val="9362031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206063"/>
        <c:crosses val="autoZero"/>
        <c:auto val="1"/>
        <c:lblAlgn val="ctr"/>
        <c:lblOffset val="100"/>
        <c:noMultiLvlLbl val="0"/>
      </c:catAx>
      <c:valAx>
        <c:axId val="9362060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20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739140</xdr:colOff>
      <xdr:row>7</xdr:row>
      <xdr:rowOff>68581</xdr:rowOff>
    </xdr:from>
    <xdr:to>
      <xdr:col>5</xdr:col>
      <xdr:colOff>28129</xdr:colOff>
      <xdr:row>12</xdr:row>
      <xdr:rowOff>15241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1F91F9E-56D4-761A-2D2D-EE8D4BDF68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9140" y="2900793"/>
              <a:ext cx="3698262" cy="857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236220</xdr:colOff>
      <xdr:row>7</xdr:row>
      <xdr:rowOff>91440</xdr:rowOff>
    </xdr:from>
    <xdr:to>
      <xdr:col>8</xdr:col>
      <xdr:colOff>230709</xdr:colOff>
      <xdr:row>12</xdr:row>
      <xdr:rowOff>53339</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8162104F-2C29-BCEF-F7F5-D15A51374AD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612662" y="2923652"/>
              <a:ext cx="2657762" cy="872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xdr:colOff>
      <xdr:row>7</xdr:row>
      <xdr:rowOff>99061</xdr:rowOff>
    </xdr:from>
    <xdr:to>
      <xdr:col>12</xdr:col>
      <xdr:colOff>60663</xdr:colOff>
      <xdr:row>11</xdr:row>
      <xdr:rowOff>167640</xdr:rowOff>
    </xdr:to>
    <mc:AlternateContent xmlns:mc="http://schemas.openxmlformats.org/markup-compatibility/2006" xmlns:a14="http://schemas.microsoft.com/office/drawing/2010/main">
      <mc:Choice Requires="a14">
        <xdr:graphicFrame macro="">
          <xdr:nvGraphicFramePr>
            <xdr:cNvPr id="4" name="Priority">
              <a:extLst>
                <a:ext uri="{FF2B5EF4-FFF2-40B4-BE49-F238E27FC236}">
                  <a16:creationId xmlns:a16="http://schemas.microsoft.com/office/drawing/2014/main" id="{FB43255E-50D1-3346-E6D0-C4326D1D303F}"/>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9848816" y="2931273"/>
              <a:ext cx="1975199" cy="796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7</xdr:row>
      <xdr:rowOff>91441</xdr:rowOff>
    </xdr:from>
    <xdr:to>
      <xdr:col>9</xdr:col>
      <xdr:colOff>321748</xdr:colOff>
      <xdr:row>11</xdr:row>
      <xdr:rowOff>175260</xdr:rowOff>
    </xdr:to>
    <mc:AlternateContent xmlns:mc="http://schemas.openxmlformats.org/markup-compatibility/2006" xmlns:a14="http://schemas.microsoft.com/office/drawing/2010/main">
      <mc:Choice Requires="a14">
        <xdr:graphicFrame macro="">
          <xdr:nvGraphicFramePr>
            <xdr:cNvPr id="5" name="SLA_Status">
              <a:extLst>
                <a:ext uri="{FF2B5EF4-FFF2-40B4-BE49-F238E27FC236}">
                  <a16:creationId xmlns:a16="http://schemas.microsoft.com/office/drawing/2014/main" id="{0E8E494F-CAF0-0CAB-F35C-40910DBF3E4D}"/>
                </a:ext>
              </a:extLst>
            </xdr:cNvPr>
            <xdr:cNvGraphicFramePr/>
          </xdr:nvGraphicFramePr>
          <xdr:xfrm>
            <a:off x="0" y="0"/>
            <a:ext cx="0" cy="0"/>
          </xdr:xfrm>
          <a:graphic>
            <a:graphicData uri="http://schemas.microsoft.com/office/drawing/2010/slicer">
              <sle:slicer xmlns:sle="http://schemas.microsoft.com/office/drawing/2010/slicer" name="SLA_Status"/>
            </a:graphicData>
          </a:graphic>
        </xdr:graphicFrame>
      </mc:Choice>
      <mc:Fallback xmlns="">
        <xdr:sp macro="" textlink="">
          <xdr:nvSpPr>
            <xdr:cNvPr id="0" name=""/>
            <xdr:cNvSpPr>
              <a:spLocks noTextEdit="1"/>
            </xdr:cNvSpPr>
          </xdr:nvSpPr>
          <xdr:spPr>
            <a:xfrm>
              <a:off x="7369484" y="2923653"/>
              <a:ext cx="2146750" cy="812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365760</xdr:colOff>
      <xdr:row>0</xdr:row>
      <xdr:rowOff>1236726</xdr:rowOff>
    </xdr:from>
    <xdr:to>
      <xdr:col>17</xdr:col>
      <xdr:colOff>114300</xdr:colOff>
      <xdr:row>7</xdr:row>
      <xdr:rowOff>137160</xdr:rowOff>
    </xdr:to>
    <xdr:sp macro="" textlink="">
      <xdr:nvSpPr>
        <xdr:cNvPr id="6" name="Speech Bubble: Rectangle with Corners Rounded 5">
          <a:extLst>
            <a:ext uri="{FF2B5EF4-FFF2-40B4-BE49-F238E27FC236}">
              <a16:creationId xmlns:a16="http://schemas.microsoft.com/office/drawing/2014/main" id="{CB75288D-28D6-21D2-4E99-1E49D3FF66E2}"/>
            </a:ext>
          </a:extLst>
        </xdr:cNvPr>
        <xdr:cNvSpPr/>
      </xdr:nvSpPr>
      <xdr:spPr>
        <a:xfrm>
          <a:off x="12108180" y="1236726"/>
          <a:ext cx="2796540" cy="1735074"/>
        </a:xfrm>
        <a:prstGeom prst="wedgeRoundRectCallout">
          <a:avLst>
            <a:gd name="adj1" fmla="val -20288"/>
            <a:gd name="adj2" fmla="val 68290"/>
            <a:gd name="adj3" fmla="val 16667"/>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a:t>• Majority of tickets were resolved within SLA limits.</a:t>
          </a:r>
        </a:p>
        <a:p>
          <a:pPr algn="l"/>
          <a:r>
            <a:rPr lang="en-IN" sz="1100"/>
            <a:t>• SLA breaches are higher for specific products such as Printers.</a:t>
          </a:r>
        </a:p>
        <a:p>
          <a:pPr algn="l"/>
          <a:r>
            <a:rPr lang="en-IN" sz="1100"/>
            <a:t>• Average CSAT is lower for tickets with SLA breaches.</a:t>
          </a:r>
        </a:p>
        <a:p>
          <a:pPr algn="l"/>
          <a:r>
            <a:rPr lang="en-IN" sz="1100"/>
            <a:t>• Faster resolution time directly improves customer satisfaction.</a:t>
          </a:r>
        </a:p>
      </xdr:txBody>
    </xdr:sp>
    <xdr:clientData/>
  </xdr:twoCellAnchor>
  <xdr:twoCellAnchor>
    <xdr:from>
      <xdr:col>0</xdr:col>
      <xdr:colOff>586740</xdr:colOff>
      <xdr:row>15</xdr:row>
      <xdr:rowOff>99060</xdr:rowOff>
    </xdr:from>
    <xdr:to>
      <xdr:col>4</xdr:col>
      <xdr:colOff>22860</xdr:colOff>
      <xdr:row>26</xdr:row>
      <xdr:rowOff>7620</xdr:rowOff>
    </xdr:to>
    <xdr:graphicFrame macro="">
      <xdr:nvGraphicFramePr>
        <xdr:cNvPr id="7" name="Chart 6">
          <a:extLst>
            <a:ext uri="{FF2B5EF4-FFF2-40B4-BE49-F238E27FC236}">
              <a16:creationId xmlns:a16="http://schemas.microsoft.com/office/drawing/2014/main" id="{EE5327A2-F088-F1F5-D2C0-8BF716D38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15</xdr:row>
      <xdr:rowOff>121920</xdr:rowOff>
    </xdr:from>
    <xdr:to>
      <xdr:col>7</xdr:col>
      <xdr:colOff>640080</xdr:colOff>
      <xdr:row>26</xdr:row>
      <xdr:rowOff>60960</xdr:rowOff>
    </xdr:to>
    <xdr:graphicFrame macro="">
      <xdr:nvGraphicFramePr>
        <xdr:cNvPr id="8" name="Chart 7">
          <a:extLst>
            <a:ext uri="{FF2B5EF4-FFF2-40B4-BE49-F238E27FC236}">
              <a16:creationId xmlns:a16="http://schemas.microsoft.com/office/drawing/2014/main" id="{029A45F5-4693-7132-E3C2-859181C8B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845820</xdr:colOff>
      <xdr:row>15</xdr:row>
      <xdr:rowOff>15240</xdr:rowOff>
    </xdr:from>
    <xdr:to>
      <xdr:col>10</xdr:col>
      <xdr:colOff>655320</xdr:colOff>
      <xdr:row>26</xdr:row>
      <xdr:rowOff>53340</xdr:rowOff>
    </xdr:to>
    <xdr:graphicFrame macro="">
      <xdr:nvGraphicFramePr>
        <xdr:cNvPr id="9" name="Chart 8">
          <a:extLst>
            <a:ext uri="{FF2B5EF4-FFF2-40B4-BE49-F238E27FC236}">
              <a16:creationId xmlns:a16="http://schemas.microsoft.com/office/drawing/2014/main" id="{6FE5CAE7-8338-739B-F687-AAF976144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xdr:colOff>
      <xdr:row>14</xdr:row>
      <xdr:rowOff>160020</xdr:rowOff>
    </xdr:from>
    <xdr:to>
      <xdr:col>17</xdr:col>
      <xdr:colOff>60960</xdr:colOff>
      <xdr:row>26</xdr:row>
      <xdr:rowOff>45720</xdr:rowOff>
    </xdr:to>
    <xdr:graphicFrame macro="">
      <xdr:nvGraphicFramePr>
        <xdr:cNvPr id="10" name="Chart 9">
          <a:extLst>
            <a:ext uri="{FF2B5EF4-FFF2-40B4-BE49-F238E27FC236}">
              <a16:creationId xmlns:a16="http://schemas.microsoft.com/office/drawing/2014/main" id="{4CB71153-BB91-3D99-EAE8-E1F4F0358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899160</xdr:colOff>
      <xdr:row>0</xdr:row>
      <xdr:rowOff>952500</xdr:rowOff>
    </xdr:from>
    <xdr:to>
      <xdr:col>8</xdr:col>
      <xdr:colOff>1927860</xdr:colOff>
      <xdr:row>0</xdr:row>
      <xdr:rowOff>1470660</xdr:rowOff>
    </xdr:to>
    <xdr:sp macro="" textlink="Dashboard!L5">
      <xdr:nvSpPr>
        <xdr:cNvPr id="14" name="Rectangle: Rounded Corners 13">
          <a:extLst>
            <a:ext uri="{FF2B5EF4-FFF2-40B4-BE49-F238E27FC236}">
              <a16:creationId xmlns:a16="http://schemas.microsoft.com/office/drawing/2014/main" id="{BF48B7A9-8F92-4398-A9F0-667512BE2B43}"/>
            </a:ext>
          </a:extLst>
        </xdr:cNvPr>
        <xdr:cNvSpPr/>
      </xdr:nvSpPr>
      <xdr:spPr>
        <a:xfrm>
          <a:off x="7924800" y="952500"/>
          <a:ext cx="1028700" cy="5181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9A88BBC0-9558-4172-B0D9-213E960E87A1}" type="TxLink">
            <a:rPr lang="en-US" sz="1100" b="0" i="0" u="none" strike="noStrike">
              <a:solidFill>
                <a:srgbClr val="000000"/>
              </a:solidFill>
              <a:latin typeface="Calibri"/>
              <a:ea typeface="Calibri"/>
              <a:cs typeface="Calibri"/>
            </a:rPr>
            <a:pPr algn="l"/>
            <a:t>5</a:t>
          </a:fld>
          <a:endParaRPr lang="en-IN" sz="1100"/>
        </a:p>
      </xdr:txBody>
    </xdr:sp>
    <xdr:clientData/>
  </xdr:twoCellAnchor>
  <xdr:twoCellAnchor>
    <xdr:from>
      <xdr:col>6</xdr:col>
      <xdr:colOff>457200</xdr:colOff>
      <xdr:row>0</xdr:row>
      <xdr:rowOff>906780</xdr:rowOff>
    </xdr:from>
    <xdr:to>
      <xdr:col>8</xdr:col>
      <xdr:colOff>15240</xdr:colOff>
      <xdr:row>0</xdr:row>
      <xdr:rowOff>1463040</xdr:rowOff>
    </xdr:to>
    <xdr:sp macro="" textlink="Dashboard!I5">
      <xdr:nvSpPr>
        <xdr:cNvPr id="15" name="Rectangle: Rounded Corners 14">
          <a:extLst>
            <a:ext uri="{FF2B5EF4-FFF2-40B4-BE49-F238E27FC236}">
              <a16:creationId xmlns:a16="http://schemas.microsoft.com/office/drawing/2014/main" id="{D0A857ED-06B4-42F1-BC8D-22912CD7C8BA}"/>
            </a:ext>
          </a:extLst>
        </xdr:cNvPr>
        <xdr:cNvSpPr/>
      </xdr:nvSpPr>
      <xdr:spPr>
        <a:xfrm>
          <a:off x="6012180" y="906780"/>
          <a:ext cx="1028700" cy="5562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FF1849E6-9578-427F-AB68-CD2BEC022924}" type="TxLink">
            <a:rPr lang="en-US" sz="1100" b="0" i="0" u="none" strike="noStrike">
              <a:solidFill>
                <a:srgbClr val="000000"/>
              </a:solidFill>
              <a:latin typeface="Calibri"/>
              <a:ea typeface="Calibri"/>
              <a:cs typeface="Calibri"/>
            </a:rPr>
            <a:pPr algn="l"/>
            <a:t>5</a:t>
          </a:fld>
          <a:endParaRPr lang="en-IN" sz="1100"/>
        </a:p>
      </xdr:txBody>
    </xdr:sp>
    <xdr:clientData/>
  </xdr:twoCellAnchor>
  <xdr:twoCellAnchor>
    <xdr:from>
      <xdr:col>10</xdr:col>
      <xdr:colOff>236220</xdr:colOff>
      <xdr:row>0</xdr:row>
      <xdr:rowOff>929640</xdr:rowOff>
    </xdr:from>
    <xdr:to>
      <xdr:col>11</xdr:col>
      <xdr:colOff>403860</xdr:colOff>
      <xdr:row>0</xdr:row>
      <xdr:rowOff>1470660</xdr:rowOff>
    </xdr:to>
    <xdr:sp macro="" textlink="Dashboard!D14">
      <xdr:nvSpPr>
        <xdr:cNvPr id="16" name="Rectangle: Rounded Corners 15">
          <a:extLst>
            <a:ext uri="{FF2B5EF4-FFF2-40B4-BE49-F238E27FC236}">
              <a16:creationId xmlns:a16="http://schemas.microsoft.com/office/drawing/2014/main" id="{12C2796E-CEC6-4178-B632-737709934196}"/>
            </a:ext>
          </a:extLst>
        </xdr:cNvPr>
        <xdr:cNvSpPr/>
      </xdr:nvSpPr>
      <xdr:spPr>
        <a:xfrm>
          <a:off x="10058400" y="929640"/>
          <a:ext cx="1028700" cy="5410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0F607987-3577-40F1-B1B1-45440B9C8E27}" type="TxLink">
            <a:rPr lang="en-US" sz="1100" b="0" i="0" u="none" strike="noStrike">
              <a:solidFill>
                <a:srgbClr val="000000"/>
              </a:solidFill>
              <a:latin typeface="Calibri"/>
              <a:ea typeface="Calibri"/>
              <a:cs typeface="Calibri"/>
            </a:rPr>
            <a:t>0</a:t>
          </a:fld>
          <a:endParaRPr lang="en-IN" sz="1100"/>
        </a:p>
      </xdr:txBody>
    </xdr:sp>
    <xdr:clientData/>
  </xdr:twoCellAnchor>
  <xdr:twoCellAnchor>
    <xdr:from>
      <xdr:col>4</xdr:col>
      <xdr:colOff>213360</xdr:colOff>
      <xdr:row>0</xdr:row>
      <xdr:rowOff>929640</xdr:rowOff>
    </xdr:from>
    <xdr:to>
      <xdr:col>5</xdr:col>
      <xdr:colOff>381000</xdr:colOff>
      <xdr:row>0</xdr:row>
      <xdr:rowOff>1485900</xdr:rowOff>
    </xdr:to>
    <xdr:sp macro="" textlink="Dashboard!F5">
      <xdr:nvSpPr>
        <xdr:cNvPr id="17" name="Rectangle: Rounded Corners 16">
          <a:extLst>
            <a:ext uri="{FF2B5EF4-FFF2-40B4-BE49-F238E27FC236}">
              <a16:creationId xmlns:a16="http://schemas.microsoft.com/office/drawing/2014/main" id="{8D542865-5B25-4FAF-A94C-ADF18DDB4516}"/>
            </a:ext>
          </a:extLst>
        </xdr:cNvPr>
        <xdr:cNvSpPr/>
      </xdr:nvSpPr>
      <xdr:spPr>
        <a:xfrm>
          <a:off x="3726180" y="929640"/>
          <a:ext cx="1028700" cy="5562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C45E5289-EA8B-4D6F-88C2-79AEEC4C164D}" type="TxLink">
            <a:rPr lang="en-US" sz="1100" b="0" i="0" u="none" strike="noStrike">
              <a:solidFill>
                <a:srgbClr val="000000"/>
              </a:solidFill>
              <a:latin typeface="Calibri"/>
              <a:ea typeface="Calibri"/>
              <a:cs typeface="Calibri"/>
            </a:rPr>
            <a:pPr algn="l"/>
            <a:t>1</a:t>
          </a:fld>
          <a:endParaRPr lang="en-IN" sz="1100"/>
        </a:p>
      </xdr:txBody>
    </xdr:sp>
    <xdr:clientData/>
  </xdr:twoCellAnchor>
  <xdr:twoCellAnchor>
    <xdr:from>
      <xdr:col>1</xdr:col>
      <xdr:colOff>716280</xdr:colOff>
      <xdr:row>0</xdr:row>
      <xdr:rowOff>891540</xdr:rowOff>
    </xdr:from>
    <xdr:to>
      <xdr:col>2</xdr:col>
      <xdr:colOff>883920</xdr:colOff>
      <xdr:row>0</xdr:row>
      <xdr:rowOff>1447800</xdr:rowOff>
    </xdr:to>
    <xdr:sp macro="" textlink="Dashboard!C5">
      <xdr:nvSpPr>
        <xdr:cNvPr id="18" name="Rectangle: Rounded Corners 17">
          <a:extLst>
            <a:ext uri="{FF2B5EF4-FFF2-40B4-BE49-F238E27FC236}">
              <a16:creationId xmlns:a16="http://schemas.microsoft.com/office/drawing/2014/main" id="{22C4CD7F-3DC5-497C-AC83-3F2D8150EF3A}"/>
            </a:ext>
          </a:extLst>
        </xdr:cNvPr>
        <xdr:cNvSpPr/>
      </xdr:nvSpPr>
      <xdr:spPr>
        <a:xfrm>
          <a:off x="1577340" y="891540"/>
          <a:ext cx="1028700" cy="5562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D6957693-438B-4C33-9D1B-4D8D4B214A30}" type="TxLink">
            <a:rPr lang="en-US" sz="1100" b="0" i="0" u="none" strike="noStrike">
              <a:solidFill>
                <a:srgbClr val="000000"/>
              </a:solidFill>
              <a:latin typeface="Calibri"/>
              <a:ea typeface="Calibri"/>
              <a:cs typeface="Calibri"/>
            </a:rPr>
            <a:pPr algn="l"/>
            <a:t>1</a:t>
          </a:fld>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030.675394675927" createdVersion="8" refreshedVersion="8" minRefreshableVersion="3" recordCount="6" xr:uid="{C351FD75-CD94-476E-B0D0-FC33C4726F71}">
  <cacheSource type="worksheet">
    <worksheetSource ref="A1:L7" sheet="Sheet1"/>
  </cacheSource>
  <cacheFields count="12">
    <cacheField name="Ticket_ID " numFmtId="0">
      <sharedItems/>
    </cacheField>
    <cacheField name=" Created_Date " numFmtId="0">
      <sharedItems/>
    </cacheField>
    <cacheField name=" Resolved_Date " numFmtId="0">
      <sharedItems/>
    </cacheField>
    <cacheField name="Customer_Name" numFmtId="0">
      <sharedItems/>
    </cacheField>
    <cacheField name="Region" numFmtId="0">
      <sharedItems count="4">
        <s v="North"/>
        <s v="West"/>
        <s v="East"/>
        <s v="South"/>
      </sharedItems>
    </cacheField>
    <cacheField name="Product" numFmtId="0">
      <sharedItems count="3">
        <s v="Mobile"/>
        <s v="Printer"/>
        <s v="Laptop"/>
      </sharedItems>
    </cacheField>
    <cacheField name=" Issue_Type " numFmtId="0">
      <sharedItems/>
    </cacheField>
    <cacheField name="Priority" numFmtId="0">
      <sharedItems count="3">
        <s v="High"/>
        <s v="Low"/>
        <s v="Medium"/>
      </sharedItems>
    </cacheField>
    <cacheField name="Status" numFmtId="0">
      <sharedItems/>
    </cacheField>
    <cacheField name=" Resolution_Time_Hours " numFmtId="0">
      <sharedItems containsSemiMixedTypes="0" containsString="0" containsNumber="1" containsInteger="1" minValue="5" maxValue="72"/>
    </cacheField>
    <cacheField name=" CSAT" numFmtId="0">
      <sharedItems containsSemiMixedTypes="0" containsString="0" containsNumber="1" containsInteger="1" minValue="2" maxValue="5"/>
    </cacheField>
    <cacheField name="SLA_Status" numFmtId="0">
      <sharedItems count="2">
        <s v="SLA Breach"/>
        <s v="Within SLA"/>
      </sharedItems>
    </cacheField>
  </cacheFields>
  <extLst>
    <ext xmlns:x14="http://schemas.microsoft.com/office/spreadsheetml/2009/9/main" uri="{725AE2AE-9491-48be-B2B4-4EB974FC3084}">
      <x14:pivotCacheDefinition pivotCacheId="1000783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T001 "/>
    <s v=" 01-01-2025 "/>
    <s v=" 02-01-2025 "/>
    <s v="Rahul"/>
    <x v="0"/>
    <x v="0"/>
    <s v="Login Issue"/>
    <x v="0"/>
    <s v="Closed"/>
    <n v="26"/>
    <n v="4"/>
    <x v="0"/>
  </r>
  <r>
    <s v="T003 "/>
    <s v=" 02-01-2025 "/>
    <s v=" 02-01-2025 "/>
    <s v="Amit"/>
    <x v="1"/>
    <x v="0"/>
    <s v="Screen Problem"/>
    <x v="0"/>
    <s v="Closed"/>
    <n v="5"/>
    <n v="5"/>
    <x v="1"/>
  </r>
  <r>
    <s v="T004 "/>
    <s v=" 02-01-2025 "/>
    <s v=" 05-01-2025 "/>
    <s v="Neha"/>
    <x v="2"/>
    <x v="1"/>
    <s v="Paper Jam"/>
    <x v="1"/>
    <s v="Closed"/>
    <n v="72"/>
    <n v="3"/>
    <x v="0"/>
  </r>
  <r>
    <s v="T006 "/>
    <s v=" 03-01-2025 "/>
    <s v=" 04-01-2025 "/>
    <s v="Rohan"/>
    <x v="3"/>
    <x v="0"/>
    <s v="Login Issue"/>
    <x v="2"/>
    <s v="Closed"/>
    <n v="18"/>
    <n v="4"/>
    <x v="1"/>
  </r>
  <r>
    <s v="T007 "/>
    <s v=" 04-01-2025 "/>
    <s v=" 06-01-2025 "/>
    <s v="Pooja"/>
    <x v="1"/>
    <x v="1"/>
    <s v="Cartridge Error"/>
    <x v="1"/>
    <s v="Closed"/>
    <n v="40"/>
    <n v="2"/>
    <x v="0"/>
  </r>
  <r>
    <s v="T008 "/>
    <s v=" 04-01-2025 "/>
    <s v=" 04-01-2025 "/>
    <s v="Aman"/>
    <x v="2"/>
    <x v="2"/>
    <s v="Blue Screen"/>
    <x v="0"/>
    <s v="Closed"/>
    <n v="6"/>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478B2B-D6B7-4D4A-8D94-46DA760D2B62}"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5" firstHeaderRow="1" firstDataRow="1" firstDataCol="1"/>
  <pivotFields count="12">
    <pivotField showAll="0"/>
    <pivotField showAll="0"/>
    <pivotField showAll="0"/>
    <pivotField showAll="0"/>
    <pivotField showAll="0">
      <items count="5">
        <item h="1" x="2"/>
        <item h="1" x="0"/>
        <item h="1" x="3"/>
        <item x="1"/>
        <item t="default"/>
      </items>
    </pivotField>
    <pivotField axis="axisRow" showAll="0">
      <items count="4">
        <item h="1" x="2"/>
        <item x="0"/>
        <item h="1" x="1"/>
        <item t="default"/>
      </items>
    </pivotField>
    <pivotField showAll="0"/>
    <pivotField showAll="0">
      <items count="4">
        <item x="0"/>
        <item h="1" x="1"/>
        <item h="1" x="2"/>
        <item t="default"/>
      </items>
    </pivotField>
    <pivotField showAll="0"/>
    <pivotField dataField="1" showAll="0"/>
    <pivotField showAll="0"/>
    <pivotField showAll="0">
      <items count="3">
        <item h="1" x="0"/>
        <item x="1"/>
        <item t="default"/>
      </items>
    </pivotField>
  </pivotFields>
  <rowFields count="1">
    <field x="5"/>
  </rowFields>
  <rowItems count="2">
    <i>
      <x v="1"/>
    </i>
    <i t="grand">
      <x/>
    </i>
  </rowItems>
  <colItems count="1">
    <i/>
  </colItems>
  <dataFields count="1">
    <dataField name="Average of  Resolution_Time_Hours " fld="9" subtotal="average" baseField="5" baseItem="0"/>
  </dataFields>
  <formats count="12">
    <format dxfId="803">
      <pivotArea type="all" dataOnly="0" outline="0" fieldPosition="0"/>
    </format>
    <format dxfId="802">
      <pivotArea outline="0" collapsedLevelsAreSubtotals="1" fieldPosition="0"/>
    </format>
    <format dxfId="801">
      <pivotArea field="5" type="button" dataOnly="0" labelOnly="1" outline="0" axis="axisRow" fieldPosition="0"/>
    </format>
    <format dxfId="800">
      <pivotArea dataOnly="0" labelOnly="1" fieldPosition="0">
        <references count="1">
          <reference field="5" count="0"/>
        </references>
      </pivotArea>
    </format>
    <format dxfId="799">
      <pivotArea dataOnly="0" labelOnly="1" grandRow="1" outline="0" fieldPosition="0"/>
    </format>
    <format dxfId="798">
      <pivotArea dataOnly="0" labelOnly="1" outline="0" axis="axisValues" fieldPosition="0"/>
    </format>
    <format dxfId="771">
      <pivotArea type="all" dataOnly="0" outline="0" fieldPosition="0"/>
    </format>
    <format dxfId="764">
      <pivotArea outline="0" collapsedLevelsAreSubtotals="1" fieldPosition="0"/>
    </format>
    <format dxfId="763">
      <pivotArea field="5" type="button" dataOnly="0" labelOnly="1" outline="0" axis="axisRow" fieldPosition="0"/>
    </format>
    <format dxfId="762">
      <pivotArea dataOnly="0" labelOnly="1" fieldPosition="0">
        <references count="1">
          <reference field="5" count="0"/>
        </references>
      </pivotArea>
    </format>
    <format dxfId="761">
      <pivotArea dataOnly="0" labelOnly="1" grandRow="1" outline="0" fieldPosition="0"/>
    </format>
    <format dxfId="76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72C54-5811-4C6F-837B-F544766ECB2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5" firstHeaderRow="1" firstDataRow="1" firstDataCol="1"/>
  <pivotFields count="12">
    <pivotField dataField="1" showAll="0"/>
    <pivotField showAll="0"/>
    <pivotField showAll="0"/>
    <pivotField showAll="0"/>
    <pivotField showAll="0">
      <items count="5">
        <item h="1" x="2"/>
        <item h="1" x="0"/>
        <item h="1" x="3"/>
        <item x="1"/>
        <item t="default"/>
      </items>
    </pivotField>
    <pivotField showAll="0">
      <items count="4">
        <item h="1" x="2"/>
        <item x="0"/>
        <item h="1" x="1"/>
        <item t="default"/>
      </items>
    </pivotField>
    <pivotField showAll="0"/>
    <pivotField showAll="0">
      <items count="4">
        <item x="0"/>
        <item h="1" x="1"/>
        <item h="1" x="2"/>
        <item t="default"/>
      </items>
    </pivotField>
    <pivotField showAll="0"/>
    <pivotField showAll="0"/>
    <pivotField showAll="0"/>
    <pivotField axis="axisRow" showAll="0">
      <items count="3">
        <item h="1" x="0"/>
        <item x="1"/>
        <item t="default"/>
      </items>
    </pivotField>
  </pivotFields>
  <rowFields count="1">
    <field x="11"/>
  </rowFields>
  <rowItems count="2">
    <i>
      <x v="1"/>
    </i>
    <i t="grand">
      <x/>
    </i>
  </rowItems>
  <colItems count="1">
    <i/>
  </colItems>
  <dataFields count="1">
    <dataField name="Count of Ticket_ID " fld="0" subtotal="count" baseField="0" baseItem="0"/>
  </dataFields>
  <formats count="12">
    <format dxfId="796">
      <pivotArea type="all" dataOnly="0" outline="0" fieldPosition="0"/>
    </format>
    <format dxfId="795">
      <pivotArea outline="0" collapsedLevelsAreSubtotals="1" fieldPosition="0"/>
    </format>
    <format dxfId="794">
      <pivotArea field="11" type="button" dataOnly="0" labelOnly="1" outline="0" axis="axisRow" fieldPosition="0"/>
    </format>
    <format dxfId="793">
      <pivotArea dataOnly="0" labelOnly="1" fieldPosition="0">
        <references count="1">
          <reference field="11" count="0"/>
        </references>
      </pivotArea>
    </format>
    <format dxfId="792">
      <pivotArea dataOnly="0" labelOnly="1" grandRow="1" outline="0" fieldPosition="0"/>
    </format>
    <format dxfId="791">
      <pivotArea dataOnly="0" labelOnly="1" outline="0" axis="axisValues" fieldPosition="0"/>
    </format>
    <format dxfId="758">
      <pivotArea type="all" dataOnly="0" outline="0" fieldPosition="0"/>
    </format>
    <format dxfId="751">
      <pivotArea outline="0" collapsedLevelsAreSubtotals="1" fieldPosition="0"/>
    </format>
    <format dxfId="750">
      <pivotArea field="11" type="button" dataOnly="0" labelOnly="1" outline="0" axis="axisRow" fieldPosition="0"/>
    </format>
    <format dxfId="749">
      <pivotArea dataOnly="0" labelOnly="1" fieldPosition="0">
        <references count="1">
          <reference field="11" count="0"/>
        </references>
      </pivotArea>
    </format>
    <format dxfId="748">
      <pivotArea dataOnly="0" labelOnly="1" grandRow="1" outline="0" fieldPosition="0"/>
    </format>
    <format dxfId="74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95387-05C3-4B1E-8B1A-29639358D28A}"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C5" firstHeaderRow="1" firstDataRow="1" firstDataCol="1"/>
  <pivotFields count="12">
    <pivotField dataField="1" showAll="0"/>
    <pivotField showAll="0"/>
    <pivotField showAll="0"/>
    <pivotField showAll="0"/>
    <pivotField axis="axisRow" showAll="0">
      <items count="5">
        <item h="1" x="2"/>
        <item h="1" x="0"/>
        <item h="1" x="3"/>
        <item x="1"/>
        <item t="default"/>
      </items>
    </pivotField>
    <pivotField showAll="0">
      <items count="4">
        <item h="1" x="2"/>
        <item x="0"/>
        <item h="1" x="1"/>
        <item t="default"/>
      </items>
    </pivotField>
    <pivotField showAll="0"/>
    <pivotField showAll="0">
      <items count="4">
        <item x="0"/>
        <item h="1" x="1"/>
        <item h="1" x="2"/>
        <item t="default"/>
      </items>
    </pivotField>
    <pivotField showAll="0"/>
    <pivotField showAll="0"/>
    <pivotField showAll="0"/>
    <pivotField showAll="0">
      <items count="3">
        <item h="1" x="0"/>
        <item x="1"/>
        <item t="default"/>
      </items>
    </pivotField>
  </pivotFields>
  <rowFields count="1">
    <field x="4"/>
  </rowFields>
  <rowItems count="2">
    <i>
      <x v="3"/>
    </i>
    <i t="grand">
      <x/>
    </i>
  </rowItems>
  <colItems count="1">
    <i/>
  </colItems>
  <dataFields count="1">
    <dataField name="Count of Ticket_ID" fld="0" subtotal="count" baseField="0" baseItem="0"/>
  </dataFields>
  <formats count="12">
    <format dxfId="789">
      <pivotArea type="all" dataOnly="0" outline="0" fieldPosition="0"/>
    </format>
    <format dxfId="788">
      <pivotArea outline="0" collapsedLevelsAreSubtotals="1" fieldPosition="0"/>
    </format>
    <format dxfId="787">
      <pivotArea field="4" type="button" dataOnly="0" labelOnly="1" outline="0" axis="axisRow" fieldPosition="0"/>
    </format>
    <format dxfId="786">
      <pivotArea dataOnly="0" labelOnly="1" fieldPosition="0">
        <references count="1">
          <reference field="4" count="0"/>
        </references>
      </pivotArea>
    </format>
    <format dxfId="785">
      <pivotArea dataOnly="0" labelOnly="1" grandRow="1" outline="0" fieldPosition="0"/>
    </format>
    <format dxfId="784">
      <pivotArea dataOnly="0" labelOnly="1" outline="0" axis="axisValues" fieldPosition="0"/>
    </format>
    <format dxfId="745">
      <pivotArea type="all" dataOnly="0" outline="0" fieldPosition="0"/>
    </format>
    <format dxfId="738">
      <pivotArea outline="0" collapsedLevelsAreSubtotals="1" fieldPosition="0"/>
    </format>
    <format dxfId="737">
      <pivotArea field="4" type="button" dataOnly="0" labelOnly="1" outline="0" axis="axisRow" fieldPosition="0"/>
    </format>
    <format dxfId="736">
      <pivotArea dataOnly="0" labelOnly="1" fieldPosition="0">
        <references count="1">
          <reference field="4" count="0"/>
        </references>
      </pivotArea>
    </format>
    <format dxfId="735">
      <pivotArea dataOnly="0" labelOnly="1" grandRow="1" outline="0" fieldPosition="0"/>
    </format>
    <format dxfId="73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63045B-B8ED-4110-BC02-6E0C98269131}"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5" firstHeaderRow="1" firstDataRow="1" firstDataCol="1"/>
  <pivotFields count="12">
    <pivotField showAll="0"/>
    <pivotField showAll="0"/>
    <pivotField showAll="0"/>
    <pivotField showAll="0"/>
    <pivotField showAll="0">
      <items count="5">
        <item h="1" x="2"/>
        <item h="1" x="0"/>
        <item h="1" x="3"/>
        <item x="1"/>
        <item t="default"/>
      </items>
    </pivotField>
    <pivotField showAll="0">
      <items count="4">
        <item h="1" x="2"/>
        <item x="0"/>
        <item h="1" x="1"/>
        <item t="default"/>
      </items>
    </pivotField>
    <pivotField showAll="0"/>
    <pivotField showAll="0">
      <items count="4">
        <item x="0"/>
        <item h="1" x="1"/>
        <item h="1" x="2"/>
        <item t="default"/>
      </items>
    </pivotField>
    <pivotField showAll="0"/>
    <pivotField showAll="0"/>
    <pivotField dataField="1" showAll="0"/>
    <pivotField axis="axisRow" showAll="0">
      <items count="3">
        <item h="1" x="0"/>
        <item x="1"/>
        <item t="default"/>
      </items>
    </pivotField>
  </pivotFields>
  <rowFields count="1">
    <field x="11"/>
  </rowFields>
  <rowItems count="2">
    <i>
      <x v="1"/>
    </i>
    <i t="grand">
      <x/>
    </i>
  </rowItems>
  <colItems count="1">
    <i/>
  </colItems>
  <dataFields count="1">
    <dataField name="Average of  CSAT" fld="10" subtotal="average" baseField="11" baseItem="0"/>
  </dataFields>
  <formats count="12">
    <format dxfId="782">
      <pivotArea type="all" dataOnly="0" outline="0" fieldPosition="0"/>
    </format>
    <format dxfId="781">
      <pivotArea outline="0" collapsedLevelsAreSubtotals="1" fieldPosition="0"/>
    </format>
    <format dxfId="780">
      <pivotArea field="11" type="button" dataOnly="0" labelOnly="1" outline="0" axis="axisRow" fieldPosition="0"/>
    </format>
    <format dxfId="779">
      <pivotArea dataOnly="0" labelOnly="1" fieldPosition="0">
        <references count="1">
          <reference field="11" count="0"/>
        </references>
      </pivotArea>
    </format>
    <format dxfId="778">
      <pivotArea dataOnly="0" labelOnly="1" grandRow="1" outline="0" fieldPosition="0"/>
    </format>
    <format dxfId="777">
      <pivotArea dataOnly="0" labelOnly="1" outline="0" axis="axisValues" fieldPosition="0"/>
    </format>
    <format dxfId="732">
      <pivotArea type="all" dataOnly="0" outline="0" fieldPosition="0"/>
    </format>
    <format dxfId="725">
      <pivotArea outline="0" collapsedLevelsAreSubtotals="1" fieldPosition="0"/>
    </format>
    <format dxfId="724">
      <pivotArea field="11" type="button" dataOnly="0" labelOnly="1" outline="0" axis="axisRow" fieldPosition="0"/>
    </format>
    <format dxfId="723">
      <pivotArea dataOnly="0" labelOnly="1" fieldPosition="0">
        <references count="1">
          <reference field="11" count="0"/>
        </references>
      </pivotArea>
    </format>
    <format dxfId="722">
      <pivotArea dataOnly="0" labelOnly="1" grandRow="1" outline="0" fieldPosition="0"/>
    </format>
    <format dxfId="72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A541F6-DCFC-401E-A8EB-B8EB1C2FC41A}" sourceName="Region">
  <pivotTables>
    <pivotTable tabId="2" name="PivotTable4"/>
    <pivotTable tabId="2" name="PivotTable1"/>
    <pivotTable tabId="2" name="PivotTable2"/>
    <pivotTable tabId="2" name="PivotTable3"/>
  </pivotTables>
  <data>
    <tabular pivotCacheId="1000783027">
      <items count="4">
        <i x="1" s="1"/>
        <i x="2" nd="1"/>
        <i x="0"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466BEBF-7154-4DF3-8D5E-8BA41DD92DF0}" sourceName="Product">
  <pivotTables>
    <pivotTable tabId="2" name="PivotTable4"/>
    <pivotTable tabId="2" name="PivotTable1"/>
    <pivotTable tabId="2" name="PivotTable2"/>
    <pivotTable tabId="2" name="PivotTable3"/>
  </pivotTables>
  <data>
    <tabular pivotCacheId="1000783027">
      <items count="3">
        <i x="0" s="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1AE26058-2D9A-48CC-BBEC-D82072C22202}" sourceName="Priority">
  <pivotTables>
    <pivotTable tabId="2" name="PivotTable4"/>
    <pivotTable tabId="2" name="PivotTable1"/>
    <pivotTable tabId="2" name="PivotTable2"/>
    <pivotTable tabId="2" name="PivotTable3"/>
  </pivotTables>
  <data>
    <tabular pivotCacheId="1000783027">
      <items count="3">
        <i x="0" s="1"/>
        <i x="1"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Status" xr10:uid="{4F0AED8C-13C1-4ADB-8683-A5AFB5616C13}" sourceName="SLA_Status">
  <pivotTables>
    <pivotTable tabId="2" name="PivotTable4"/>
    <pivotTable tabId="2" name="PivotTable1"/>
    <pivotTable tabId="2" name="PivotTable2"/>
    <pivotTable tabId="2" name="PivotTable3"/>
  </pivotTables>
  <data>
    <tabular pivotCacheId="1000783027">
      <items count="2">
        <i x="1"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F04890B-B760-41DB-AD0E-8B0834528264}" cache="Slicer_Region" caption="Region" columnCount="4" style="SlicerStyleDark5" rowHeight="234950"/>
  <slicer name="Product" xr10:uid="{3D355633-0777-450B-9724-FAECEE85B90D}" cache="Slicer_Product" caption="Product" columnCount="3" style="SlicerStyleDark5" rowHeight="234950"/>
  <slicer name="Priority" xr10:uid="{D1075AB0-F646-4574-817B-30AEF68B3688}" cache="Slicer_Priority" caption="Priority" columnCount="3" style="SlicerStyleDark5" rowHeight="234950"/>
  <slicer name="SLA_Status" xr10:uid="{E0B0213F-3BEF-4B1E-92F2-944A07991F0C}" cache="Slicer_SLA_Status" caption="SLA_Status" columnCount="2"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CB6B28-F54B-484A-BC99-3B75B68B9F1D}" name="Table1" displayName="Table1" ref="A3:L4" totalsRowShown="0">
  <autoFilter ref="A3:L4" xr:uid="{1CCB6B28-F54B-484A-BC99-3B75B68B9F1D}"/>
  <tableColumns count="12">
    <tableColumn id="1" xr3:uid="{47E80E69-2E5F-445C-ADE9-C37E9DCBCA0C}" name="Ticket_ID "/>
    <tableColumn id="2" xr3:uid="{3B884B33-2FA7-49A9-9B61-D86F0CCECD08}" name=" Created_Date "/>
    <tableColumn id="3" xr3:uid="{9221578F-9BC9-44D1-A844-57221A7F4F97}" name=" Resolved_Date "/>
    <tableColumn id="4" xr3:uid="{53C1BC2E-0DC7-499B-A555-AD8B04E67BA5}" name="Customer_Name"/>
    <tableColumn id="5" xr3:uid="{4125EAFC-7909-4349-8DB6-7A1F442D18CE}" name="Region"/>
    <tableColumn id="6" xr3:uid="{C3A486EF-0FC1-4A25-97F2-301E603A1643}" name="Product"/>
    <tableColumn id="7" xr3:uid="{2560D5C2-00C0-4B93-B4A8-426DE2D5C43E}" name=" Issue_Type "/>
    <tableColumn id="8" xr3:uid="{9BC4878C-E49B-49DC-BEB1-7A4585ED555D}" name="Priority"/>
    <tableColumn id="9" xr3:uid="{3BD16737-DF30-404C-A6DF-6D79D37EEF7E}" name="Status"/>
    <tableColumn id="10" xr3:uid="{37B16431-6A7E-4BC3-905D-6C4AD5E6EE81}" name=" Resolution_Time_Hours "/>
    <tableColumn id="11" xr3:uid="{80D6810D-7878-4B47-A1FB-CA2FCC444D7A}" name=" CSAT"/>
    <tableColumn id="12" xr3:uid="{AD689645-BF92-4372-8E9D-685AFA43C945}" name="SLA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178B-9D59-43AC-A66F-C2037ECF54E9}">
  <dimension ref="A1:L4"/>
  <sheetViews>
    <sheetView workbookViewId="0">
      <selection activeCell="A3" sqref="A3:L4"/>
    </sheetView>
  </sheetViews>
  <sheetFormatPr defaultRowHeight="14.4" x14ac:dyDescent="0.3"/>
  <cols>
    <col min="1" max="1" width="11.44140625" bestFit="1" customWidth="1"/>
    <col min="2" max="2" width="15.6640625" bestFit="1" customWidth="1"/>
    <col min="3" max="3" width="16.6640625" bestFit="1" customWidth="1"/>
    <col min="4" max="4" width="17.44140625" bestFit="1" customWidth="1"/>
    <col min="5" max="5" width="9" bestFit="1" customWidth="1"/>
    <col min="6" max="6" width="9.88671875" bestFit="1" customWidth="1"/>
    <col min="7" max="7" width="13.44140625" bestFit="1" customWidth="1"/>
    <col min="8" max="8" width="9.33203125" bestFit="1" customWidth="1"/>
    <col min="9" max="9" width="9" bestFit="1" customWidth="1"/>
    <col min="10" max="10" width="24.33203125" bestFit="1" customWidth="1"/>
    <col min="11" max="11" width="9" bestFit="1" customWidth="1"/>
    <col min="12" max="12" width="12.5546875" bestFit="1" customWidth="1"/>
  </cols>
  <sheetData>
    <row r="1" spans="1:12" x14ac:dyDescent="0.3">
      <c r="A1" s="1" t="s">
        <v>55</v>
      </c>
    </row>
    <row r="3" spans="1:12" x14ac:dyDescent="0.3">
      <c r="A3" t="s">
        <v>0</v>
      </c>
      <c r="B3" t="s">
        <v>1</v>
      </c>
      <c r="C3" t="s">
        <v>2</v>
      </c>
      <c r="D3" t="s">
        <v>18</v>
      </c>
      <c r="E3" t="s">
        <v>25</v>
      </c>
      <c r="F3" t="s">
        <v>30</v>
      </c>
      <c r="G3" t="s">
        <v>3</v>
      </c>
      <c r="H3" t="s">
        <v>39</v>
      </c>
      <c r="I3" t="s">
        <v>43</v>
      </c>
      <c r="J3" t="s">
        <v>4</v>
      </c>
      <c r="K3" t="s">
        <v>5</v>
      </c>
      <c r="L3" t="s">
        <v>45</v>
      </c>
    </row>
    <row r="4" spans="1:12" x14ac:dyDescent="0.3">
      <c r="A4" t="s">
        <v>6</v>
      </c>
      <c r="B4" t="s">
        <v>7</v>
      </c>
      <c r="C4" t="s">
        <v>8</v>
      </c>
      <c r="D4" t="s">
        <v>19</v>
      </c>
      <c r="E4" t="s">
        <v>26</v>
      </c>
      <c r="F4" t="s">
        <v>31</v>
      </c>
      <c r="G4" t="s">
        <v>34</v>
      </c>
      <c r="H4" t="s">
        <v>40</v>
      </c>
      <c r="I4" t="s">
        <v>44</v>
      </c>
      <c r="J4">
        <v>26</v>
      </c>
      <c r="K4">
        <v>4</v>
      </c>
      <c r="L4"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BB00-1632-4FDA-80B8-88731AAFBEB1}">
  <dimension ref="B1:N14"/>
  <sheetViews>
    <sheetView showGridLines="0" tabSelected="1" zoomScale="76" workbookViewId="0">
      <selection activeCell="O13" sqref="O13"/>
    </sheetView>
  </sheetViews>
  <sheetFormatPr defaultRowHeight="14.4" x14ac:dyDescent="0.3"/>
  <cols>
    <col min="1" max="1" width="12.5546875" style="2" bestFit="1" customWidth="1"/>
    <col min="2" max="2" width="13.109375" style="2" bestFit="1" customWidth="1"/>
    <col min="3" max="3" width="16.33203125" style="2" bestFit="1" customWidth="1"/>
    <col min="4" max="4" width="8.88671875" style="2"/>
    <col min="5" max="5" width="13.109375" style="2" bestFit="1" customWidth="1"/>
    <col min="6" max="6" width="16.77734375" style="2" bestFit="1" customWidth="1"/>
    <col min="7" max="7" width="8.88671875" style="2"/>
    <col min="8" max="8" width="13.109375" style="2" bestFit="1" customWidth="1"/>
    <col min="9" max="9" width="31.5546875" style="2" bestFit="1" customWidth="1"/>
    <col min="10" max="10" width="8.88671875" style="2"/>
    <col min="11" max="11" width="13.109375" style="2" bestFit="1" customWidth="1"/>
    <col min="12" max="12" width="15" style="2" bestFit="1" customWidth="1"/>
    <col min="13" max="16384" width="8.88671875" style="2"/>
  </cols>
  <sheetData>
    <row r="1" spans="2:14" ht="136.19999999999999" customHeight="1" thickBot="1" x14ac:dyDescent="0.35">
      <c r="G1" s="3" t="s">
        <v>52</v>
      </c>
      <c r="H1" s="4"/>
      <c r="I1" s="4"/>
      <c r="N1" s="2" t="s">
        <v>53</v>
      </c>
    </row>
    <row r="2" spans="2:14" ht="15" thickTop="1" x14ac:dyDescent="0.3"/>
    <row r="3" spans="2:14" x14ac:dyDescent="0.3">
      <c r="B3" s="2" t="s">
        <v>46</v>
      </c>
      <c r="C3" s="2" t="s">
        <v>54</v>
      </c>
      <c r="E3" s="2" t="s">
        <v>46</v>
      </c>
      <c r="F3" s="2" t="s">
        <v>48</v>
      </c>
      <c r="H3" s="2" t="s">
        <v>46</v>
      </c>
      <c r="I3" s="2" t="s">
        <v>50</v>
      </c>
      <c r="K3" s="2" t="s">
        <v>46</v>
      </c>
      <c r="L3" s="2" t="s">
        <v>51</v>
      </c>
    </row>
    <row r="4" spans="2:14" x14ac:dyDescent="0.3">
      <c r="B4" s="5" t="s">
        <v>28</v>
      </c>
      <c r="C4" s="6">
        <v>1</v>
      </c>
      <c r="E4" s="5" t="s">
        <v>56</v>
      </c>
      <c r="F4" s="6">
        <v>1</v>
      </c>
      <c r="H4" s="5" t="s">
        <v>31</v>
      </c>
      <c r="I4" s="6">
        <v>5</v>
      </c>
      <c r="K4" s="5" t="s">
        <v>56</v>
      </c>
      <c r="L4" s="6">
        <v>5</v>
      </c>
    </row>
    <row r="5" spans="2:14" x14ac:dyDescent="0.3">
      <c r="B5" s="5" t="s">
        <v>47</v>
      </c>
      <c r="C5" s="6">
        <v>1</v>
      </c>
      <c r="E5" s="5" t="s">
        <v>47</v>
      </c>
      <c r="F5" s="6">
        <v>1</v>
      </c>
      <c r="H5" s="5" t="s">
        <v>47</v>
      </c>
      <c r="I5" s="6">
        <v>5</v>
      </c>
      <c r="K5" s="5" t="s">
        <v>47</v>
      </c>
      <c r="L5" s="6">
        <v>5</v>
      </c>
    </row>
    <row r="14" spans="2:14" x14ac:dyDescent="0.3">
      <c r="D14" s="7">
        <f>(C5-F5)/C5</f>
        <v>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5783-67F3-4464-AB2B-DC5FE0B4B18A}">
  <dimension ref="A1:L7"/>
  <sheetViews>
    <sheetView zoomScale="178" workbookViewId="0">
      <selection activeCell="D4" sqref="A1:L7"/>
    </sheetView>
  </sheetViews>
  <sheetFormatPr defaultRowHeight="14.4" x14ac:dyDescent="0.3"/>
  <cols>
    <col min="1" max="1" width="9.109375" bestFit="1" customWidth="1"/>
    <col min="2" max="2" width="13.33203125" bestFit="1" customWidth="1"/>
    <col min="3" max="3" width="14.21875" bestFit="1" customWidth="1"/>
    <col min="5" max="5" width="20.109375" customWidth="1"/>
    <col min="6" max="6" width="7.44140625" bestFit="1" customWidth="1"/>
    <col min="7" max="7" width="15.77734375" customWidth="1"/>
    <col min="8" max="8" width="14.77734375" bestFit="1" customWidth="1"/>
    <col min="9" max="9" width="8.77734375" bestFit="1" customWidth="1"/>
    <col min="10" max="10" width="21.88671875" bestFit="1" customWidth="1"/>
    <col min="11" max="11" width="5.5546875" bestFit="1" customWidth="1"/>
    <col min="12" max="12" width="13.5546875" customWidth="1"/>
  </cols>
  <sheetData>
    <row r="1" spans="1:12" x14ac:dyDescent="0.3">
      <c r="A1" t="s">
        <v>0</v>
      </c>
      <c r="B1" t="s">
        <v>1</v>
      </c>
      <c r="C1" t="s">
        <v>2</v>
      </c>
      <c r="D1" t="s">
        <v>18</v>
      </c>
      <c r="E1" t="s">
        <v>25</v>
      </c>
      <c r="F1" t="s">
        <v>30</v>
      </c>
      <c r="G1" t="s">
        <v>3</v>
      </c>
      <c r="H1" t="s">
        <v>39</v>
      </c>
      <c r="I1" t="s">
        <v>43</v>
      </c>
      <c r="J1" t="s">
        <v>4</v>
      </c>
      <c r="K1" t="s">
        <v>5</v>
      </c>
      <c r="L1" t="s">
        <v>45</v>
      </c>
    </row>
    <row r="2" spans="1:12" x14ac:dyDescent="0.3">
      <c r="A2" t="s">
        <v>6</v>
      </c>
      <c r="B2" t="s">
        <v>7</v>
      </c>
      <c r="C2" t="s">
        <v>8</v>
      </c>
      <c r="D2" t="s">
        <v>19</v>
      </c>
      <c r="E2" t="s">
        <v>26</v>
      </c>
      <c r="F2" t="s">
        <v>31</v>
      </c>
      <c r="G2" t="s">
        <v>34</v>
      </c>
      <c r="H2" t="s">
        <v>40</v>
      </c>
      <c r="I2" t="s">
        <v>44</v>
      </c>
      <c r="J2">
        <v>26</v>
      </c>
      <c r="K2">
        <v>4</v>
      </c>
      <c r="L2" t="str">
        <f>IF(J2&lt;=24,"Within SLA","SLA Breach")</f>
        <v>SLA Breach</v>
      </c>
    </row>
    <row r="3" spans="1:12" x14ac:dyDescent="0.3">
      <c r="A3" t="s">
        <v>9</v>
      </c>
      <c r="B3" t="s">
        <v>8</v>
      </c>
      <c r="C3" t="s">
        <v>8</v>
      </c>
      <c r="D3" t="s">
        <v>20</v>
      </c>
      <c r="E3" t="s">
        <v>28</v>
      </c>
      <c r="F3" t="s">
        <v>31</v>
      </c>
      <c r="G3" t="s">
        <v>35</v>
      </c>
      <c r="H3" t="s">
        <v>40</v>
      </c>
      <c r="I3" t="s">
        <v>44</v>
      </c>
      <c r="J3">
        <v>5</v>
      </c>
      <c r="K3">
        <v>5</v>
      </c>
      <c r="L3" t="str">
        <f t="shared" ref="L3:L7" si="0">IF(J3&lt;=24,"Within SLA","SLA Breach")</f>
        <v>Within SLA</v>
      </c>
    </row>
    <row r="4" spans="1:12" x14ac:dyDescent="0.3">
      <c r="A4" t="s">
        <v>10</v>
      </c>
      <c r="B4" t="s">
        <v>8</v>
      </c>
      <c r="C4" t="s">
        <v>11</v>
      </c>
      <c r="D4" t="s">
        <v>21</v>
      </c>
      <c r="E4" t="s">
        <v>29</v>
      </c>
      <c r="F4" t="s">
        <v>33</v>
      </c>
      <c r="G4" t="s">
        <v>36</v>
      </c>
      <c r="H4" t="s">
        <v>42</v>
      </c>
      <c r="I4" t="s">
        <v>44</v>
      </c>
      <c r="J4">
        <v>72</v>
      </c>
      <c r="K4">
        <v>3</v>
      </c>
      <c r="L4" t="str">
        <f t="shared" si="0"/>
        <v>SLA Breach</v>
      </c>
    </row>
    <row r="5" spans="1:12" x14ac:dyDescent="0.3">
      <c r="A5" t="s">
        <v>13</v>
      </c>
      <c r="B5" t="s">
        <v>12</v>
      </c>
      <c r="C5" t="s">
        <v>14</v>
      </c>
      <c r="D5" t="s">
        <v>22</v>
      </c>
      <c r="E5" t="s">
        <v>27</v>
      </c>
      <c r="F5" t="s">
        <v>31</v>
      </c>
      <c r="G5" t="s">
        <v>34</v>
      </c>
      <c r="H5" t="s">
        <v>41</v>
      </c>
      <c r="I5" t="s">
        <v>44</v>
      </c>
      <c r="J5">
        <v>18</v>
      </c>
      <c r="K5">
        <v>4</v>
      </c>
      <c r="L5" t="str">
        <f t="shared" si="0"/>
        <v>Within SLA</v>
      </c>
    </row>
    <row r="6" spans="1:12" x14ac:dyDescent="0.3">
      <c r="A6" t="s">
        <v>15</v>
      </c>
      <c r="B6" t="s">
        <v>14</v>
      </c>
      <c r="C6" t="s">
        <v>16</v>
      </c>
      <c r="D6" t="s">
        <v>23</v>
      </c>
      <c r="E6" t="s">
        <v>28</v>
      </c>
      <c r="F6" t="s">
        <v>33</v>
      </c>
      <c r="G6" t="s">
        <v>37</v>
      </c>
      <c r="H6" t="s">
        <v>42</v>
      </c>
      <c r="I6" t="s">
        <v>44</v>
      </c>
      <c r="J6">
        <v>40</v>
      </c>
      <c r="K6">
        <v>2</v>
      </c>
      <c r="L6" t="str">
        <f t="shared" si="0"/>
        <v>SLA Breach</v>
      </c>
    </row>
    <row r="7" spans="1:12" x14ac:dyDescent="0.3">
      <c r="A7" t="s">
        <v>17</v>
      </c>
      <c r="B7" t="s">
        <v>14</v>
      </c>
      <c r="C7" t="s">
        <v>14</v>
      </c>
      <c r="D7" t="s">
        <v>24</v>
      </c>
      <c r="E7" t="s">
        <v>29</v>
      </c>
      <c r="F7" t="s">
        <v>32</v>
      </c>
      <c r="G7" t="s">
        <v>38</v>
      </c>
      <c r="H7" t="s">
        <v>40</v>
      </c>
      <c r="I7" t="s">
        <v>44</v>
      </c>
      <c r="J7">
        <v>6</v>
      </c>
      <c r="K7">
        <v>5</v>
      </c>
      <c r="L7" t="str">
        <f t="shared" si="0"/>
        <v>Within SLA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CHAURASIA</dc:creator>
  <cp:lastModifiedBy>PRIYA CHAURASIA</cp:lastModifiedBy>
  <dcterms:created xsi:type="dcterms:W3CDTF">2026-01-08T10:09:18Z</dcterms:created>
  <dcterms:modified xsi:type="dcterms:W3CDTF">2026-01-08T12:40:22Z</dcterms:modified>
</cp:coreProperties>
</file>